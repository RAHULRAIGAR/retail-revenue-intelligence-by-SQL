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A67EECFC-BE7F-4C18-AE98-DF17DCC9A3F0}" xr6:coauthVersionLast="47" xr6:coauthVersionMax="47" xr10:uidLastSave="{00000000-0000-0000-0000-000000000000}"/>
  <bookViews>
    <workbookView xWindow="-108" yWindow="-108" windowWidth="23256" windowHeight="12456" firstSheet="1" activeTab="4" xr2:uid="{FEEE1A7E-0325-479B-8E5D-EA584EDCEE23}"/>
  </bookViews>
  <sheets>
    <sheet name="Monthly_Revenue" sheetId="1" r:id="rId1"/>
    <sheet name="Category_Profit" sheetId="2" r:id="rId2"/>
    <sheet name="Top 10 Products by Revenue" sheetId="3" r:id="rId3"/>
    <sheet name="Top 10 Customers by Revenue" sheetId="4" r:id="rId4"/>
    <sheet name="Dashboar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C4" i="6"/>
  <c r="A4" i="6"/>
  <c r="G4" i="6"/>
</calcChain>
</file>

<file path=xl/sharedStrings.xml><?xml version="1.0" encoding="utf-8"?>
<sst xmlns="http://schemas.openxmlformats.org/spreadsheetml/2006/main" count="66" uniqueCount="51">
  <si>
    <t>month</t>
  </si>
  <si>
    <t>total_orders</t>
  </si>
  <si>
    <t>monthly_revenue</t>
  </si>
  <si>
    <t>category</t>
  </si>
  <si>
    <t>revenue</t>
  </si>
  <si>
    <t>total_cost</t>
  </si>
  <si>
    <t>estimated_profit</t>
  </si>
  <si>
    <t>Home &amp; Kitchen</t>
  </si>
  <si>
    <t>Electronics</t>
  </si>
  <si>
    <t>Fashion</t>
  </si>
  <si>
    <t>Office Supplies</t>
  </si>
  <si>
    <t>Beauty &amp; Personal Care</t>
  </si>
  <si>
    <t>product_name</t>
  </si>
  <si>
    <t>units_sold</t>
  </si>
  <si>
    <t>total_revenue</t>
  </si>
  <si>
    <t>Vacuum Cleaner</t>
  </si>
  <si>
    <t>Office Chair</t>
  </si>
  <si>
    <t>Air Fryer</t>
  </si>
  <si>
    <t>Smart Watch</t>
  </si>
  <si>
    <t>Bluetooth Speaker</t>
  </si>
  <si>
    <t>Mixer Grinder</t>
  </si>
  <si>
    <t>Webcam</t>
  </si>
  <si>
    <t>Running Shoes</t>
  </si>
  <si>
    <t>Mechanical Keyboard</t>
  </si>
  <si>
    <t>Headphones</t>
  </si>
  <si>
    <t>customer_id</t>
  </si>
  <si>
    <t>customer_name</t>
  </si>
  <si>
    <t>city</t>
  </si>
  <si>
    <t>Varun Chauhan</t>
  </si>
  <si>
    <t>Hyderabad</t>
  </si>
  <si>
    <t>Diya Kapoor</t>
  </si>
  <si>
    <t>Jaipur</t>
  </si>
  <si>
    <t>Arjun Joshi</t>
  </si>
  <si>
    <t>Chennai</t>
  </si>
  <si>
    <t>Ananya Kumar</t>
  </si>
  <si>
    <t>Delhi</t>
  </si>
  <si>
    <t>Dev Kapoor</t>
  </si>
  <si>
    <t>Chandigarh</t>
  </si>
  <si>
    <t>Aman Singh</t>
  </si>
  <si>
    <t>Bhopal</t>
  </si>
  <si>
    <t>Arjun Jain</t>
  </si>
  <si>
    <t>Nisha Yadav</t>
  </si>
  <si>
    <t>Mumbai</t>
  </si>
  <si>
    <t>Aadhya Kapoor</t>
  </si>
  <si>
    <t>Patna</t>
  </si>
  <si>
    <t>Arjun Yadav</t>
  </si>
  <si>
    <t>RETAIL REVENUE INTELLIGENCE</t>
  </si>
  <si>
    <t>TOTAL REVENUE</t>
  </si>
  <si>
    <t>TOTAL ORDERS</t>
  </si>
  <si>
    <t>ESTIMATED PROFIT</t>
  </si>
  <si>
    <t>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</si>
</sst>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169" fontId="3" fillId="2" borderId="2" xfId="0" applyNumberFormat="1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Monthly_Revenue!$C$1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Monthly_Revenue!$A$2:$A$34</c:f>
              <c:numCache>
                <c:formatCode>m/d/yyyy</c:formatCode>
                <c:ptCount val="3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</c:numCache>
            </c:numRef>
          </c:cat>
          <c:val>
            <c:numRef>
              <c:f>Monthly_Revenue!$C$2:$C$34</c:f>
              <c:numCache>
                <c:formatCode>General</c:formatCode>
                <c:ptCount val="33"/>
                <c:pt idx="0">
                  <c:v>695818.29</c:v>
                </c:pt>
                <c:pt idx="1">
                  <c:v>726988.7</c:v>
                </c:pt>
                <c:pt idx="2">
                  <c:v>754780.27</c:v>
                </c:pt>
                <c:pt idx="3">
                  <c:v>753483.98</c:v>
                </c:pt>
                <c:pt idx="4">
                  <c:v>749072.56</c:v>
                </c:pt>
                <c:pt idx="5">
                  <c:v>714115.31</c:v>
                </c:pt>
                <c:pt idx="6">
                  <c:v>784776.41</c:v>
                </c:pt>
                <c:pt idx="7">
                  <c:v>671841.79</c:v>
                </c:pt>
                <c:pt idx="8">
                  <c:v>662011.07999999996</c:v>
                </c:pt>
                <c:pt idx="9">
                  <c:v>758974.09</c:v>
                </c:pt>
                <c:pt idx="10">
                  <c:v>752092.34</c:v>
                </c:pt>
                <c:pt idx="11">
                  <c:v>755965.48</c:v>
                </c:pt>
                <c:pt idx="12">
                  <c:v>846114.16</c:v>
                </c:pt>
                <c:pt idx="13">
                  <c:v>756559.65</c:v>
                </c:pt>
                <c:pt idx="14">
                  <c:v>984096.32</c:v>
                </c:pt>
                <c:pt idx="15">
                  <c:v>746212.62</c:v>
                </c:pt>
                <c:pt idx="16">
                  <c:v>818614.86</c:v>
                </c:pt>
                <c:pt idx="17">
                  <c:v>595702.68999999994</c:v>
                </c:pt>
                <c:pt idx="18">
                  <c:v>800222.92</c:v>
                </c:pt>
                <c:pt idx="19">
                  <c:v>683750.56</c:v>
                </c:pt>
                <c:pt idx="20">
                  <c:v>696145.37</c:v>
                </c:pt>
                <c:pt idx="21">
                  <c:v>714386.22</c:v>
                </c:pt>
                <c:pt idx="22">
                  <c:v>765010.59</c:v>
                </c:pt>
                <c:pt idx="23">
                  <c:v>600753.9</c:v>
                </c:pt>
                <c:pt idx="24">
                  <c:v>944661.98</c:v>
                </c:pt>
                <c:pt idx="25">
                  <c:v>610468.06000000006</c:v>
                </c:pt>
                <c:pt idx="26">
                  <c:v>698814.52</c:v>
                </c:pt>
                <c:pt idx="27">
                  <c:v>737003.33</c:v>
                </c:pt>
                <c:pt idx="28">
                  <c:v>738953.84</c:v>
                </c:pt>
                <c:pt idx="29">
                  <c:v>635115.78</c:v>
                </c:pt>
                <c:pt idx="30">
                  <c:v>946111.34</c:v>
                </c:pt>
                <c:pt idx="31">
                  <c:v>665656.93000000005</c:v>
                </c:pt>
                <c:pt idx="32">
                  <c:v>683221.56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2-4FC5-83A1-CB7E7C665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17904"/>
        <c:axId val="179946064"/>
      </c:lineChart>
      <c:dateAx>
        <c:axId val="68261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6064"/>
        <c:crosses val="autoZero"/>
        <c:auto val="1"/>
        <c:lblOffset val="100"/>
        <c:baseTimeUnit val="months"/>
      </c:dateAx>
      <c:valAx>
        <c:axId val="179946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Revenue vs Estimated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Category_Profit!$B$1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Category_Profit!$B$2:$B$6</c:f>
              <c:numCache>
                <c:formatCode>General</c:formatCode>
                <c:ptCount val="5"/>
                <c:pt idx="0">
                  <c:v>7939334.3499999996</c:v>
                </c:pt>
                <c:pt idx="1">
                  <c:v>6385782.0999999996</c:v>
                </c:pt>
                <c:pt idx="2">
                  <c:v>3277753.95</c:v>
                </c:pt>
                <c:pt idx="3">
                  <c:v>4241154.3600000003</c:v>
                </c:pt>
                <c:pt idx="4">
                  <c:v>2603472.71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4-4F45-B0E2-73B289A3AC65}"/>
            </c:ext>
          </c:extLst>
        </c:ser>
        <c:ser>
          <c:idx val="1"/>
          <c:order val="1"/>
          <c:tx>
            <c:strRef>
              <c:f>Category_Profit!$D$1</c:f>
              <c:strCache>
                <c:ptCount val="1"/>
                <c:pt idx="0">
                  <c:v>estimated_profit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Category_Profit!$D$2:$D$6</c:f>
              <c:numCache>
                <c:formatCode>General</c:formatCode>
                <c:ptCount val="5"/>
                <c:pt idx="0">
                  <c:v>2530214.35</c:v>
                </c:pt>
                <c:pt idx="1">
                  <c:v>2384502.1</c:v>
                </c:pt>
                <c:pt idx="2">
                  <c:v>1718463.95</c:v>
                </c:pt>
                <c:pt idx="3">
                  <c:v>1592639.36</c:v>
                </c:pt>
                <c:pt idx="4">
                  <c:v>1193302.71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4-4F45-B0E2-73B289A3A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002864"/>
        <c:axId val="180014704"/>
      </c:barChart>
      <c:catAx>
        <c:axId val="685002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4704"/>
        <c:crosses val="autoZero"/>
        <c:auto val="1"/>
        <c:lblAlgn val="ctr"/>
        <c:lblOffset val="100"/>
        <c:noMultiLvlLbl val="0"/>
      </c:catAx>
      <c:valAx>
        <c:axId val="18001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Products by Revenue'!$D$1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Revenue'!$A$2:$A$11</c:f>
              <c:strCache>
                <c:ptCount val="10"/>
                <c:pt idx="0">
                  <c:v>Vacuum Cleaner</c:v>
                </c:pt>
                <c:pt idx="1">
                  <c:v>Office Chair</c:v>
                </c:pt>
                <c:pt idx="2">
                  <c:v>Air Fryer</c:v>
                </c:pt>
                <c:pt idx="3">
                  <c:v>Smart Watch</c:v>
                </c:pt>
                <c:pt idx="4">
                  <c:v>Bluetooth Speaker</c:v>
                </c:pt>
                <c:pt idx="5">
                  <c:v>Mixer Grinder</c:v>
                </c:pt>
                <c:pt idx="6">
                  <c:v>Webcam</c:v>
                </c:pt>
                <c:pt idx="7">
                  <c:v>Running Shoes</c:v>
                </c:pt>
                <c:pt idx="8">
                  <c:v>Mechanical Keyboard</c:v>
                </c:pt>
                <c:pt idx="9">
                  <c:v>Headphones</c:v>
                </c:pt>
              </c:strCache>
            </c:strRef>
          </c:cat>
          <c:val>
            <c:numRef>
              <c:f>'Top 10 Products by Revenue'!$D$2:$D$11</c:f>
              <c:numCache>
                <c:formatCode>General</c:formatCode>
                <c:ptCount val="10"/>
                <c:pt idx="0">
                  <c:v>2739905.65</c:v>
                </c:pt>
                <c:pt idx="1">
                  <c:v>2633201.94</c:v>
                </c:pt>
                <c:pt idx="2">
                  <c:v>2407664.13</c:v>
                </c:pt>
                <c:pt idx="3">
                  <c:v>1471520.62</c:v>
                </c:pt>
                <c:pt idx="4">
                  <c:v>1164202.17</c:v>
                </c:pt>
                <c:pt idx="5">
                  <c:v>1082737.8500000001</c:v>
                </c:pt>
                <c:pt idx="6">
                  <c:v>1068640.6200000001</c:v>
                </c:pt>
                <c:pt idx="7">
                  <c:v>921002.93</c:v>
                </c:pt>
                <c:pt idx="8">
                  <c:v>796598.1</c:v>
                </c:pt>
                <c:pt idx="9">
                  <c:v>612413.61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3-4E20-9026-45050EE0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821600"/>
        <c:axId val="180043984"/>
      </c:barChart>
      <c:catAx>
        <c:axId val="38482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3984"/>
        <c:crosses val="autoZero"/>
        <c:auto val="1"/>
        <c:lblAlgn val="ctr"/>
        <c:lblOffset val="100"/>
        <c:noMultiLvlLbl val="0"/>
      </c:catAx>
      <c:valAx>
        <c:axId val="1800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Customers by Revenue'!$E$1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 by Revenue'!$B$2:$B$11</c:f>
              <c:strCache>
                <c:ptCount val="10"/>
                <c:pt idx="0">
                  <c:v>Varun Chauhan</c:v>
                </c:pt>
                <c:pt idx="1">
                  <c:v>Diya Kapoor</c:v>
                </c:pt>
                <c:pt idx="2">
                  <c:v>Arjun Joshi</c:v>
                </c:pt>
                <c:pt idx="3">
                  <c:v>Ananya Kumar</c:v>
                </c:pt>
                <c:pt idx="4">
                  <c:v>Dev Kapoor</c:v>
                </c:pt>
                <c:pt idx="5">
                  <c:v>Aman Singh</c:v>
                </c:pt>
                <c:pt idx="6">
                  <c:v>Arjun Jain</c:v>
                </c:pt>
                <c:pt idx="7">
                  <c:v>Nisha Yadav</c:v>
                </c:pt>
                <c:pt idx="8">
                  <c:v>Aadhya Kapoor</c:v>
                </c:pt>
                <c:pt idx="9">
                  <c:v>Arjun Yadav</c:v>
                </c:pt>
              </c:strCache>
            </c:strRef>
          </c:cat>
          <c:val>
            <c:numRef>
              <c:f>'Top 10 Customers by Revenue'!$E$2:$E$11</c:f>
              <c:numCache>
                <c:formatCode>General</c:formatCode>
                <c:ptCount val="10"/>
                <c:pt idx="0">
                  <c:v>93093.73</c:v>
                </c:pt>
                <c:pt idx="1">
                  <c:v>90638.48</c:v>
                </c:pt>
                <c:pt idx="2">
                  <c:v>86205.4</c:v>
                </c:pt>
                <c:pt idx="3">
                  <c:v>82459.570000000007</c:v>
                </c:pt>
                <c:pt idx="4">
                  <c:v>81467.41</c:v>
                </c:pt>
                <c:pt idx="5">
                  <c:v>79383.649999999994</c:v>
                </c:pt>
                <c:pt idx="6">
                  <c:v>75344.3</c:v>
                </c:pt>
                <c:pt idx="7">
                  <c:v>74356.7</c:v>
                </c:pt>
                <c:pt idx="8">
                  <c:v>74265.89</c:v>
                </c:pt>
                <c:pt idx="9">
                  <c:v>72473.039999999994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8-44C8-8A99-CDFB59336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628848"/>
        <c:axId val="376698832"/>
      </c:barChart>
      <c:catAx>
        <c:axId val="59062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98832"/>
        <c:crosses val="autoZero"/>
        <c:auto val="1"/>
        <c:lblAlgn val="ctr"/>
        <c:lblOffset val="100"/>
        <c:noMultiLvlLbl val="0"/>
      </c:catAx>
      <c:valAx>
        <c:axId val="37669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2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Monthly_Revenue!$C$1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Monthly_Revenue!$A$2:$A$34</c:f>
              <c:numCache>
                <c:formatCode>m/d/yyyy</c:formatCode>
                <c:ptCount val="3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</c:numCache>
            </c:numRef>
          </c:cat>
          <c:val>
            <c:numRef>
              <c:f>Monthly_Revenue!$C$2:$C$34</c:f>
              <c:numCache>
                <c:formatCode>General</c:formatCode>
                <c:ptCount val="33"/>
                <c:pt idx="0">
                  <c:v>695818.29</c:v>
                </c:pt>
                <c:pt idx="1">
                  <c:v>726988.7</c:v>
                </c:pt>
                <c:pt idx="2">
                  <c:v>754780.27</c:v>
                </c:pt>
                <c:pt idx="3">
                  <c:v>753483.98</c:v>
                </c:pt>
                <c:pt idx="4">
                  <c:v>749072.56</c:v>
                </c:pt>
                <c:pt idx="5">
                  <c:v>714115.31</c:v>
                </c:pt>
                <c:pt idx="6">
                  <c:v>784776.41</c:v>
                </c:pt>
                <c:pt idx="7">
                  <c:v>671841.79</c:v>
                </c:pt>
                <c:pt idx="8">
                  <c:v>662011.07999999996</c:v>
                </c:pt>
                <c:pt idx="9">
                  <c:v>758974.09</c:v>
                </c:pt>
                <c:pt idx="10">
                  <c:v>752092.34</c:v>
                </c:pt>
                <c:pt idx="11">
                  <c:v>755965.48</c:v>
                </c:pt>
                <c:pt idx="12">
                  <c:v>846114.16</c:v>
                </c:pt>
                <c:pt idx="13">
                  <c:v>756559.65</c:v>
                </c:pt>
                <c:pt idx="14">
                  <c:v>984096.32</c:v>
                </c:pt>
                <c:pt idx="15">
                  <c:v>746212.62</c:v>
                </c:pt>
                <c:pt idx="16">
                  <c:v>818614.86</c:v>
                </c:pt>
                <c:pt idx="17">
                  <c:v>595702.68999999994</c:v>
                </c:pt>
                <c:pt idx="18">
                  <c:v>800222.92</c:v>
                </c:pt>
                <c:pt idx="19">
                  <c:v>683750.56</c:v>
                </c:pt>
                <c:pt idx="20">
                  <c:v>696145.37</c:v>
                </c:pt>
                <c:pt idx="21">
                  <c:v>714386.22</c:v>
                </c:pt>
                <c:pt idx="22">
                  <c:v>765010.59</c:v>
                </c:pt>
                <c:pt idx="23">
                  <c:v>600753.9</c:v>
                </c:pt>
                <c:pt idx="24">
                  <c:v>944661.98</c:v>
                </c:pt>
                <c:pt idx="25">
                  <c:v>610468.06000000006</c:v>
                </c:pt>
                <c:pt idx="26">
                  <c:v>698814.52</c:v>
                </c:pt>
                <c:pt idx="27">
                  <c:v>737003.33</c:v>
                </c:pt>
                <c:pt idx="28">
                  <c:v>738953.84</c:v>
                </c:pt>
                <c:pt idx="29">
                  <c:v>635115.78</c:v>
                </c:pt>
                <c:pt idx="30">
                  <c:v>946111.34</c:v>
                </c:pt>
                <c:pt idx="31">
                  <c:v>665656.93000000005</c:v>
                </c:pt>
                <c:pt idx="32">
                  <c:v>683221.56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6-48B6-80D0-E4365610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17904"/>
        <c:axId val="179946064"/>
      </c:lineChart>
      <c:dateAx>
        <c:axId val="68261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46064"/>
        <c:crosses val="autoZero"/>
        <c:auto val="1"/>
        <c:lblOffset val="100"/>
        <c:baseTimeUnit val="months"/>
      </c:dateAx>
      <c:valAx>
        <c:axId val="17994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Revenue vs Estimated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Category_Profit!$B$1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Category_Profit!$B$2:$B$6</c:f>
              <c:numCache>
                <c:formatCode>General</c:formatCode>
                <c:ptCount val="5"/>
                <c:pt idx="0">
                  <c:v>7939334.3499999996</c:v>
                </c:pt>
                <c:pt idx="1">
                  <c:v>6385782.0999999996</c:v>
                </c:pt>
                <c:pt idx="2">
                  <c:v>3277753.95</c:v>
                </c:pt>
                <c:pt idx="3">
                  <c:v>4241154.3600000003</c:v>
                </c:pt>
                <c:pt idx="4">
                  <c:v>2603472.71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6-454C-B539-281D6D14FC46}"/>
            </c:ext>
          </c:extLst>
        </c:ser>
        <c:ser>
          <c:idx val="1"/>
          <c:order val="1"/>
          <c:tx>
            <c:strRef>
              <c:f>Category_Profit!$D$1</c:f>
              <c:strCache>
                <c:ptCount val="1"/>
                <c:pt idx="0">
                  <c:v>estimated_profit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Category_Profit!$D$2:$D$6</c:f>
              <c:numCache>
                <c:formatCode>General</c:formatCode>
                <c:ptCount val="5"/>
                <c:pt idx="0">
                  <c:v>2530214.35</c:v>
                </c:pt>
                <c:pt idx="1">
                  <c:v>2384502.1</c:v>
                </c:pt>
                <c:pt idx="2">
                  <c:v>1718463.95</c:v>
                </c:pt>
                <c:pt idx="3">
                  <c:v>1592639.36</c:v>
                </c:pt>
                <c:pt idx="4">
                  <c:v>1193302.71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6-454C-B539-281D6D14F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002864"/>
        <c:axId val="180014704"/>
      </c:barChart>
      <c:catAx>
        <c:axId val="685002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4704"/>
        <c:crosses val="autoZero"/>
        <c:auto val="1"/>
        <c:lblAlgn val="ctr"/>
        <c:lblOffset val="100"/>
        <c:noMultiLvlLbl val="0"/>
      </c:catAx>
      <c:valAx>
        <c:axId val="18001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Products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Products by Revenue'!$D$1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Revenue'!$A$2:$A$11</c:f>
              <c:strCache>
                <c:ptCount val="10"/>
                <c:pt idx="0">
                  <c:v>Vacuum Cleaner</c:v>
                </c:pt>
                <c:pt idx="1">
                  <c:v>Office Chair</c:v>
                </c:pt>
                <c:pt idx="2">
                  <c:v>Air Fryer</c:v>
                </c:pt>
                <c:pt idx="3">
                  <c:v>Smart Watch</c:v>
                </c:pt>
                <c:pt idx="4">
                  <c:v>Bluetooth Speaker</c:v>
                </c:pt>
                <c:pt idx="5">
                  <c:v>Mixer Grinder</c:v>
                </c:pt>
                <c:pt idx="6">
                  <c:v>Webcam</c:v>
                </c:pt>
                <c:pt idx="7">
                  <c:v>Running Shoes</c:v>
                </c:pt>
                <c:pt idx="8">
                  <c:v>Mechanical Keyboard</c:v>
                </c:pt>
                <c:pt idx="9">
                  <c:v>Headphones</c:v>
                </c:pt>
              </c:strCache>
            </c:strRef>
          </c:cat>
          <c:val>
            <c:numRef>
              <c:f>'Top 10 Products by Revenue'!$D$2:$D$11</c:f>
              <c:numCache>
                <c:formatCode>General</c:formatCode>
                <c:ptCount val="10"/>
                <c:pt idx="0">
                  <c:v>2739905.65</c:v>
                </c:pt>
                <c:pt idx="1">
                  <c:v>2633201.94</c:v>
                </c:pt>
                <c:pt idx="2">
                  <c:v>2407664.13</c:v>
                </c:pt>
                <c:pt idx="3">
                  <c:v>1471520.62</c:v>
                </c:pt>
                <c:pt idx="4">
                  <c:v>1164202.17</c:v>
                </c:pt>
                <c:pt idx="5">
                  <c:v>1082737.8500000001</c:v>
                </c:pt>
                <c:pt idx="6">
                  <c:v>1068640.6200000001</c:v>
                </c:pt>
                <c:pt idx="7">
                  <c:v>921002.93</c:v>
                </c:pt>
                <c:pt idx="8">
                  <c:v>796598.1</c:v>
                </c:pt>
                <c:pt idx="9">
                  <c:v>612413.61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2-4A34-8B3C-1EEDBBE02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821600"/>
        <c:axId val="180043984"/>
      </c:barChart>
      <c:catAx>
        <c:axId val="38482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3984"/>
        <c:crosses val="autoZero"/>
        <c:auto val="1"/>
        <c:lblAlgn val="ctr"/>
        <c:lblOffset val="100"/>
        <c:noMultiLvlLbl val="0"/>
      </c:catAx>
      <c:valAx>
        <c:axId val="1800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accent2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Customers by Revenue'!$E$1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Customers by Revenue'!$B$2:$B$11</c:f>
              <c:strCache>
                <c:ptCount val="10"/>
                <c:pt idx="0">
                  <c:v>Varun Chauhan</c:v>
                </c:pt>
                <c:pt idx="1">
                  <c:v>Diya Kapoor</c:v>
                </c:pt>
                <c:pt idx="2">
                  <c:v>Arjun Joshi</c:v>
                </c:pt>
                <c:pt idx="3">
                  <c:v>Ananya Kumar</c:v>
                </c:pt>
                <c:pt idx="4">
                  <c:v>Dev Kapoor</c:v>
                </c:pt>
                <c:pt idx="5">
                  <c:v>Aman Singh</c:v>
                </c:pt>
                <c:pt idx="6">
                  <c:v>Arjun Jain</c:v>
                </c:pt>
                <c:pt idx="7">
                  <c:v>Nisha Yadav</c:v>
                </c:pt>
                <c:pt idx="8">
                  <c:v>Aadhya Kapoor</c:v>
                </c:pt>
                <c:pt idx="9">
                  <c:v>Arjun Yadav</c:v>
                </c:pt>
              </c:strCache>
            </c:strRef>
          </c:cat>
          <c:val>
            <c:numRef>
              <c:f>'Top 10 Customers by Revenue'!$E$2:$E$11</c:f>
              <c:numCache>
                <c:formatCode>General</c:formatCode>
                <c:ptCount val="10"/>
                <c:pt idx="0">
                  <c:v>93093.73</c:v>
                </c:pt>
                <c:pt idx="1">
                  <c:v>90638.48</c:v>
                </c:pt>
                <c:pt idx="2">
                  <c:v>86205.4</c:v>
                </c:pt>
                <c:pt idx="3">
                  <c:v>82459.570000000007</c:v>
                </c:pt>
                <c:pt idx="4">
                  <c:v>81467.41</c:v>
                </c:pt>
                <c:pt idx="5">
                  <c:v>79383.649999999994</c:v>
                </c:pt>
                <c:pt idx="6">
                  <c:v>75344.3</c:v>
                </c:pt>
                <c:pt idx="7">
                  <c:v>74356.7</c:v>
                </c:pt>
                <c:pt idx="8">
                  <c:v>74265.89</c:v>
                </c:pt>
                <c:pt idx="9">
                  <c:v>72473.039999999994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6-49D5-B358-AFD321F96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628848"/>
        <c:axId val="376698832"/>
      </c:barChart>
      <c:catAx>
        <c:axId val="59062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98832"/>
        <c:crosses val="autoZero"/>
        <c:auto val="1"/>
        <c:lblAlgn val="ctr"/>
        <c:lblOffset val="100"/>
        <c:noMultiLvlLbl val="0"/>
      </c:catAx>
      <c:valAx>
        <c:axId val="3766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62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2</xdr:row>
      <xdr:rowOff>68580</xdr:rowOff>
    </xdr:from>
    <xdr:to>
      <xdr:col>19</xdr:col>
      <xdr:colOff>91440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D0C22-5EFD-BCAE-BDD1-A1FB835B0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1</xdr:row>
      <xdr:rowOff>83820</xdr:rowOff>
    </xdr:from>
    <xdr:to>
      <xdr:col>18</xdr:col>
      <xdr:colOff>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3E52F-D944-6985-239D-22BAF3CDE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2</xdr:row>
      <xdr:rowOff>144780</xdr:rowOff>
    </xdr:from>
    <xdr:to>
      <xdr:col>18</xdr:col>
      <xdr:colOff>350520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42637-7EF3-4A26-EA0C-DF580E573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1</xdr:row>
      <xdr:rowOff>53340</xdr:rowOff>
    </xdr:from>
    <xdr:to>
      <xdr:col>19</xdr:col>
      <xdr:colOff>579120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D4AD5-EBCB-9B77-80DB-17A4D52C0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68580</xdr:rowOff>
    </xdr:from>
    <xdr:to>
      <xdr:col>2</xdr:col>
      <xdr:colOff>1666240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9196F-4F91-446E-99D1-5E743BBD7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1788160</xdr:colOff>
      <xdr:row>4</xdr:row>
      <xdr:rowOff>76200</xdr:rowOff>
    </xdr:from>
    <xdr:to>
      <xdr:col>6</xdr:col>
      <xdr:colOff>1270000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15D6A0-13AF-4E00-9D33-B3C9E044F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68580</xdr:rowOff>
    </xdr:from>
    <xdr:to>
      <xdr:col>2</xdr:col>
      <xdr:colOff>1635760</xdr:colOff>
      <xdr:row>29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D97B87-35D9-494B-8CB7-0B3E57EA5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1808480</xdr:colOff>
      <xdr:row>16</xdr:row>
      <xdr:rowOff>93980</xdr:rowOff>
    </xdr:from>
    <xdr:to>
      <xdr:col>6</xdr:col>
      <xdr:colOff>1249680</xdr:colOff>
      <xdr:row>29</xdr:row>
      <xdr:rowOff>132080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47EF9C-06E5-469F-B1B5-331CDCCF9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E247-F6F1-4584-A6DB-E705B7AB3045}">
  <dimension ref="A1:C34"/>
  <sheetViews>
    <sheetView workbookViewId="0">
      <selection activeCell="F17" sqref="F17"/>
    </sheetView>
  </sheetViews>
  <sheetFormatPr defaultRowHeight="14.4"/>
  <cols>
    <col min="1" max="1" width="10.33203125" bestFit="1" customWidth="1"/>
    <col min="3" max="3" width="18.44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45292</v>
      </c>
      <c r="B2">
        <v>144</v>
      </c>
      <c r="C2">
        <v>695818.29</v>
      </c>
    </row>
    <row r="3" spans="1:3">
      <c r="A3" s="1">
        <v>45323</v>
      </c>
      <c r="B3">
        <v>147</v>
      </c>
      <c r="C3">
        <v>726988.7</v>
      </c>
    </row>
    <row r="4" spans="1:3">
      <c r="A4" s="1">
        <v>45352</v>
      </c>
      <c r="B4">
        <v>149</v>
      </c>
      <c r="C4">
        <v>754780.27</v>
      </c>
    </row>
    <row r="5" spans="1:3">
      <c r="A5" s="1">
        <v>45383</v>
      </c>
      <c r="B5">
        <v>153</v>
      </c>
      <c r="C5">
        <v>753483.98</v>
      </c>
    </row>
    <row r="6" spans="1:3">
      <c r="A6" s="1">
        <v>45413</v>
      </c>
      <c r="B6">
        <v>159</v>
      </c>
      <c r="C6">
        <v>749072.56</v>
      </c>
    </row>
    <row r="7" spans="1:3">
      <c r="A7" s="1">
        <v>45444</v>
      </c>
      <c r="B7">
        <v>157</v>
      </c>
      <c r="C7">
        <v>714115.31</v>
      </c>
    </row>
    <row r="8" spans="1:3">
      <c r="A8" s="1">
        <v>45474</v>
      </c>
      <c r="B8">
        <v>162</v>
      </c>
      <c r="C8">
        <v>784776.41</v>
      </c>
    </row>
    <row r="9" spans="1:3">
      <c r="A9" s="1">
        <v>45505</v>
      </c>
      <c r="B9">
        <v>147</v>
      </c>
      <c r="C9">
        <v>671841.79</v>
      </c>
    </row>
    <row r="10" spans="1:3">
      <c r="A10" s="1">
        <v>45536</v>
      </c>
      <c r="B10">
        <v>141</v>
      </c>
      <c r="C10">
        <v>662011.07999999996</v>
      </c>
    </row>
    <row r="11" spans="1:3">
      <c r="A11" s="1">
        <v>45566</v>
      </c>
      <c r="B11">
        <v>149</v>
      </c>
      <c r="C11">
        <v>758974.09</v>
      </c>
    </row>
    <row r="12" spans="1:3">
      <c r="A12" s="1">
        <v>45597</v>
      </c>
      <c r="B12">
        <v>153</v>
      </c>
      <c r="C12">
        <v>752092.34</v>
      </c>
    </row>
    <row r="13" spans="1:3">
      <c r="A13" s="1">
        <v>45627</v>
      </c>
      <c r="B13">
        <v>154</v>
      </c>
      <c r="C13">
        <v>755965.48</v>
      </c>
    </row>
    <row r="14" spans="1:3">
      <c r="A14" s="1">
        <v>45658</v>
      </c>
      <c r="B14">
        <v>142</v>
      </c>
      <c r="C14">
        <v>846114.16</v>
      </c>
    </row>
    <row r="15" spans="1:3">
      <c r="A15" s="1">
        <v>45689</v>
      </c>
      <c r="B15">
        <v>137</v>
      </c>
      <c r="C15">
        <v>756559.65</v>
      </c>
    </row>
    <row r="16" spans="1:3">
      <c r="A16" s="1">
        <v>45717</v>
      </c>
      <c r="B16">
        <v>181</v>
      </c>
      <c r="C16">
        <v>984096.32</v>
      </c>
    </row>
    <row r="17" spans="1:3">
      <c r="A17" s="1">
        <v>45748</v>
      </c>
      <c r="B17">
        <v>155</v>
      </c>
      <c r="C17">
        <v>746212.62</v>
      </c>
    </row>
    <row r="18" spans="1:3">
      <c r="A18" s="1">
        <v>45778</v>
      </c>
      <c r="B18">
        <v>147</v>
      </c>
      <c r="C18">
        <v>818614.86</v>
      </c>
    </row>
    <row r="19" spans="1:3">
      <c r="A19" s="1">
        <v>45809</v>
      </c>
      <c r="B19">
        <v>146</v>
      </c>
      <c r="C19">
        <v>595702.68999999994</v>
      </c>
    </row>
    <row r="20" spans="1:3">
      <c r="A20" s="1">
        <v>45839</v>
      </c>
      <c r="B20">
        <v>152</v>
      </c>
      <c r="C20">
        <v>800222.92</v>
      </c>
    </row>
    <row r="21" spans="1:3">
      <c r="A21" s="1">
        <v>45870</v>
      </c>
      <c r="B21">
        <v>146</v>
      </c>
      <c r="C21">
        <v>683750.56</v>
      </c>
    </row>
    <row r="22" spans="1:3">
      <c r="A22" s="1">
        <v>45901</v>
      </c>
      <c r="B22">
        <v>157</v>
      </c>
      <c r="C22">
        <v>696145.37</v>
      </c>
    </row>
    <row r="23" spans="1:3">
      <c r="A23" s="1">
        <v>45931</v>
      </c>
      <c r="B23">
        <v>169</v>
      </c>
      <c r="C23">
        <v>714386.22</v>
      </c>
    </row>
    <row r="24" spans="1:3">
      <c r="A24" s="1">
        <v>45962</v>
      </c>
      <c r="B24">
        <v>148</v>
      </c>
      <c r="C24">
        <v>765010.59</v>
      </c>
    </row>
    <row r="25" spans="1:3">
      <c r="A25" s="1">
        <v>45992</v>
      </c>
      <c r="B25">
        <v>145</v>
      </c>
      <c r="C25">
        <v>600753.9</v>
      </c>
    </row>
    <row r="26" spans="1:3">
      <c r="A26" s="1">
        <v>46023</v>
      </c>
      <c r="B26">
        <v>171</v>
      </c>
      <c r="C26">
        <v>944661.98</v>
      </c>
    </row>
    <row r="27" spans="1:3">
      <c r="A27" s="1">
        <v>46054</v>
      </c>
      <c r="B27">
        <v>137</v>
      </c>
      <c r="C27">
        <v>610468.06000000006</v>
      </c>
    </row>
    <row r="28" spans="1:3">
      <c r="A28" s="1">
        <v>46082</v>
      </c>
      <c r="B28">
        <v>139</v>
      </c>
      <c r="C28">
        <v>698814.52</v>
      </c>
    </row>
    <row r="29" spans="1:3">
      <c r="A29" s="1">
        <v>46113</v>
      </c>
      <c r="B29">
        <v>143</v>
      </c>
      <c r="C29">
        <v>737003.33</v>
      </c>
    </row>
    <row r="30" spans="1:3">
      <c r="A30" s="1">
        <v>46143</v>
      </c>
      <c r="B30">
        <v>146</v>
      </c>
      <c r="C30">
        <v>738953.84</v>
      </c>
    </row>
    <row r="31" spans="1:3">
      <c r="A31" s="1">
        <v>46174</v>
      </c>
      <c r="B31">
        <v>136</v>
      </c>
      <c r="C31">
        <v>635115.78</v>
      </c>
    </row>
    <row r="32" spans="1:3">
      <c r="A32" s="1">
        <v>46204</v>
      </c>
      <c r="B32">
        <v>163</v>
      </c>
      <c r="C32">
        <v>946111.34</v>
      </c>
    </row>
    <row r="33" spans="1:3">
      <c r="A33" s="1">
        <v>46235</v>
      </c>
      <c r="B33">
        <v>124</v>
      </c>
      <c r="C33">
        <v>665656.93000000005</v>
      </c>
    </row>
    <row r="34" spans="1:3">
      <c r="A34" s="1">
        <v>46266</v>
      </c>
      <c r="B34">
        <v>139</v>
      </c>
      <c r="C34">
        <v>683221.56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7C6A-D79E-4E85-9ABE-0DFFC05E9776}">
  <dimension ref="A1:D6"/>
  <sheetViews>
    <sheetView workbookViewId="0">
      <selection activeCell="D18" sqref="D18"/>
    </sheetView>
  </sheetViews>
  <sheetFormatPr defaultRowHeight="14.4"/>
  <cols>
    <col min="1" max="1" width="20.33203125" bestFit="1" customWidth="1"/>
    <col min="4" max="4" width="14.77734375" bestFit="1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t="s">
        <v>7</v>
      </c>
      <c r="B2">
        <v>7939334.3499999996</v>
      </c>
      <c r="C2">
        <v>5409120</v>
      </c>
      <c r="D2">
        <v>2530214.35</v>
      </c>
    </row>
    <row r="3" spans="1:4">
      <c r="A3" t="s">
        <v>8</v>
      </c>
      <c r="B3">
        <v>6385782.0999999996</v>
      </c>
      <c r="C3">
        <v>4001280</v>
      </c>
      <c r="D3">
        <v>2384502.1</v>
      </c>
    </row>
    <row r="4" spans="1:4">
      <c r="A4" t="s">
        <v>9</v>
      </c>
      <c r="B4">
        <v>3277753.95</v>
      </c>
      <c r="C4">
        <v>1559290</v>
      </c>
      <c r="D4">
        <v>1718463.95</v>
      </c>
    </row>
    <row r="5" spans="1:4">
      <c r="A5" t="s">
        <v>10</v>
      </c>
      <c r="B5">
        <v>4241154.3600000003</v>
      </c>
      <c r="C5">
        <v>2648515</v>
      </c>
      <c r="D5">
        <v>1592639.36</v>
      </c>
    </row>
    <row r="6" spans="1:4">
      <c r="A6" t="s">
        <v>11</v>
      </c>
      <c r="B6">
        <v>2603472.71</v>
      </c>
      <c r="C6">
        <v>1410170</v>
      </c>
      <c r="D6">
        <v>1193302.71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0EED-6307-48B4-8C28-BB3EAC4B3807}">
  <dimension ref="A1:D11"/>
  <sheetViews>
    <sheetView workbookViewId="0">
      <selection activeCell="E15" sqref="E15"/>
    </sheetView>
  </sheetViews>
  <sheetFormatPr defaultRowHeight="14.4"/>
  <cols>
    <col min="1" max="1" width="18.6640625" bestFit="1" customWidth="1"/>
    <col min="4" max="4" width="12.44140625" bestFit="1" customWidth="1"/>
  </cols>
  <sheetData>
    <row r="1" spans="1:4">
      <c r="A1" t="s">
        <v>12</v>
      </c>
      <c r="B1" t="s">
        <v>3</v>
      </c>
      <c r="C1" t="s">
        <v>13</v>
      </c>
      <c r="D1" t="s">
        <v>14</v>
      </c>
    </row>
    <row r="2" spans="1:4">
      <c r="A2" t="s">
        <v>15</v>
      </c>
      <c r="B2" t="s">
        <v>7</v>
      </c>
      <c r="C2">
        <v>334</v>
      </c>
      <c r="D2">
        <v>2739905.65</v>
      </c>
    </row>
    <row r="3" spans="1:4">
      <c r="A3" t="s">
        <v>16</v>
      </c>
      <c r="B3" t="s">
        <v>10</v>
      </c>
      <c r="C3">
        <v>364</v>
      </c>
      <c r="D3">
        <v>2633201.94</v>
      </c>
    </row>
    <row r="4" spans="1:4">
      <c r="A4" t="s">
        <v>17</v>
      </c>
      <c r="B4" t="s">
        <v>7</v>
      </c>
      <c r="C4">
        <v>378</v>
      </c>
      <c r="D4">
        <v>2407664.13</v>
      </c>
    </row>
    <row r="5" spans="1:4">
      <c r="A5" t="s">
        <v>18</v>
      </c>
      <c r="B5" t="s">
        <v>8</v>
      </c>
      <c r="C5">
        <v>335</v>
      </c>
      <c r="D5">
        <v>1471520.62</v>
      </c>
    </row>
    <row r="6" spans="1:4">
      <c r="A6" t="s">
        <v>19</v>
      </c>
      <c r="B6" t="s">
        <v>8</v>
      </c>
      <c r="C6">
        <v>394</v>
      </c>
      <c r="D6">
        <v>1164202.17</v>
      </c>
    </row>
    <row r="7" spans="1:4">
      <c r="A7" t="s">
        <v>20</v>
      </c>
      <c r="B7" t="s">
        <v>7</v>
      </c>
      <c r="C7">
        <v>338</v>
      </c>
      <c r="D7">
        <v>1082737.8500000001</v>
      </c>
    </row>
    <row r="8" spans="1:4">
      <c r="A8" t="s">
        <v>21</v>
      </c>
      <c r="B8" t="s">
        <v>8</v>
      </c>
      <c r="C8">
        <v>423</v>
      </c>
      <c r="D8">
        <v>1068640.6200000001</v>
      </c>
    </row>
    <row r="9" spans="1:4">
      <c r="A9" t="s">
        <v>22</v>
      </c>
      <c r="B9" t="s">
        <v>9</v>
      </c>
      <c r="C9">
        <v>343</v>
      </c>
      <c r="D9">
        <v>921002.93</v>
      </c>
    </row>
    <row r="10" spans="1:4">
      <c r="A10" t="s">
        <v>23</v>
      </c>
      <c r="B10" t="s">
        <v>8</v>
      </c>
      <c r="C10">
        <v>353</v>
      </c>
      <c r="D10">
        <v>796598.1</v>
      </c>
    </row>
    <row r="11" spans="1:4">
      <c r="A11" t="s">
        <v>24</v>
      </c>
      <c r="B11" t="s">
        <v>8</v>
      </c>
      <c r="C11">
        <v>308</v>
      </c>
      <c r="D11">
        <v>612413.61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531D-68D3-40FE-8401-CC7B7DB29C5B}">
  <dimension ref="A1:E11"/>
  <sheetViews>
    <sheetView workbookViewId="0">
      <selection activeCell="E14" sqref="E14"/>
    </sheetView>
  </sheetViews>
  <sheetFormatPr defaultRowHeight="14.4"/>
  <cols>
    <col min="2" max="2" width="14.33203125" bestFit="1" customWidth="1"/>
    <col min="5" max="5" width="12.44140625" bestFit="1" customWidth="1"/>
  </cols>
  <sheetData>
    <row r="1" spans="1:5">
      <c r="A1" t="s">
        <v>25</v>
      </c>
      <c r="B1" t="s">
        <v>26</v>
      </c>
      <c r="C1" t="s">
        <v>27</v>
      </c>
      <c r="D1" t="s">
        <v>1</v>
      </c>
      <c r="E1" t="s">
        <v>14</v>
      </c>
    </row>
    <row r="2" spans="1:5">
      <c r="A2">
        <v>1162</v>
      </c>
      <c r="B2" t="s">
        <v>28</v>
      </c>
      <c r="C2" t="s">
        <v>29</v>
      </c>
      <c r="D2">
        <v>9</v>
      </c>
      <c r="E2">
        <v>93093.73</v>
      </c>
    </row>
    <row r="3" spans="1:5">
      <c r="A3">
        <v>585</v>
      </c>
      <c r="B3" t="s">
        <v>30</v>
      </c>
      <c r="C3" t="s">
        <v>31</v>
      </c>
      <c r="D3">
        <v>6</v>
      </c>
      <c r="E3">
        <v>90638.48</v>
      </c>
    </row>
    <row r="4" spans="1:5">
      <c r="A4">
        <v>965</v>
      </c>
      <c r="B4" t="s">
        <v>32</v>
      </c>
      <c r="C4" t="s">
        <v>33</v>
      </c>
      <c r="D4">
        <v>9</v>
      </c>
      <c r="E4">
        <v>86205.4</v>
      </c>
    </row>
    <row r="5" spans="1:5">
      <c r="A5">
        <v>513</v>
      </c>
      <c r="B5" t="s">
        <v>34</v>
      </c>
      <c r="C5" t="s">
        <v>35</v>
      </c>
      <c r="D5">
        <v>9</v>
      </c>
      <c r="E5">
        <v>82459.570000000007</v>
      </c>
    </row>
    <row r="6" spans="1:5">
      <c r="A6">
        <v>270</v>
      </c>
      <c r="B6" t="s">
        <v>36</v>
      </c>
      <c r="C6" t="s">
        <v>37</v>
      </c>
      <c r="D6">
        <v>13</v>
      </c>
      <c r="E6">
        <v>81467.41</v>
      </c>
    </row>
    <row r="7" spans="1:5">
      <c r="A7">
        <v>416</v>
      </c>
      <c r="B7" t="s">
        <v>38</v>
      </c>
      <c r="C7" t="s">
        <v>39</v>
      </c>
      <c r="D7">
        <v>10</v>
      </c>
      <c r="E7">
        <v>79383.649999999994</v>
      </c>
    </row>
    <row r="8" spans="1:5">
      <c r="A8">
        <v>521</v>
      </c>
      <c r="B8" t="s">
        <v>40</v>
      </c>
      <c r="C8" t="s">
        <v>37</v>
      </c>
      <c r="D8">
        <v>7</v>
      </c>
      <c r="E8">
        <v>75344.3</v>
      </c>
    </row>
    <row r="9" spans="1:5">
      <c r="A9">
        <v>762</v>
      </c>
      <c r="B9" t="s">
        <v>41</v>
      </c>
      <c r="C9" t="s">
        <v>42</v>
      </c>
      <c r="D9">
        <v>6</v>
      </c>
      <c r="E9">
        <v>74356.7</v>
      </c>
    </row>
    <row r="10" spans="1:5">
      <c r="A10">
        <v>1024</v>
      </c>
      <c r="B10" t="s">
        <v>43</v>
      </c>
      <c r="C10" t="s">
        <v>44</v>
      </c>
      <c r="D10">
        <v>11</v>
      </c>
      <c r="E10">
        <v>74265.89</v>
      </c>
    </row>
    <row r="11" spans="1:5">
      <c r="A11">
        <v>869</v>
      </c>
      <c r="B11" t="s">
        <v>45</v>
      </c>
      <c r="C11" t="s">
        <v>39</v>
      </c>
      <c r="D11">
        <v>9</v>
      </c>
      <c r="E11">
        <v>72473.039999999994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AC3D-BCCB-464C-8D11-AFC36043BE35}">
  <dimension ref="A1:I23"/>
  <sheetViews>
    <sheetView tabSelected="1" zoomScale="89" zoomScaleNormal="89" workbookViewId="0">
      <selection activeCell="I23" sqref="I23"/>
    </sheetView>
  </sheetViews>
  <sheetFormatPr defaultRowHeight="14.4"/>
  <cols>
    <col min="1" max="1" width="29.77734375" bestFit="1" customWidth="1"/>
    <col min="3" max="3" width="29.77734375" bestFit="1" customWidth="1"/>
    <col min="5" max="5" width="28" bestFit="1" customWidth="1"/>
    <col min="7" max="7" width="18.6640625" bestFit="1" customWidth="1"/>
  </cols>
  <sheetData>
    <row r="1" spans="1:8" ht="25.8">
      <c r="A1" s="3" t="s">
        <v>46</v>
      </c>
      <c r="B1" s="2"/>
      <c r="C1" s="2"/>
      <c r="D1" s="2"/>
      <c r="E1" s="2"/>
      <c r="F1" s="2"/>
      <c r="G1" s="2"/>
      <c r="H1" s="2"/>
    </row>
    <row r="3" spans="1:8" ht="21">
      <c r="A3" s="4" t="s">
        <v>47</v>
      </c>
      <c r="C3" s="4" t="s">
        <v>48</v>
      </c>
      <c r="E3" s="4" t="s">
        <v>49</v>
      </c>
      <c r="G3" s="4" t="s">
        <v>50</v>
      </c>
    </row>
    <row r="4" spans="1:8">
      <c r="A4" s="5">
        <f>SUM(Monthly_Revenue!C2:C100)</f>
        <v>24447497.499999993</v>
      </c>
      <c r="C4" s="5">
        <f>SUM(Monthly_Revenue!B2:B100)</f>
        <v>4938</v>
      </c>
      <c r="E4" s="5">
        <f>SUM(Category_Profit!D2:D100)</f>
        <v>9419122.4700000007</v>
      </c>
      <c r="G4" s="5">
        <f>6.04%</f>
        <v>6.0400000000000002E-2</v>
      </c>
    </row>
    <row r="23" spans="9:9">
      <c r="I23" s="6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Monthly_Revenue</vt:lpstr>
      <vt:lpstr>Category_Profit</vt:lpstr>
      <vt:lpstr>Top 10 Products by Revenue</vt:lpstr>
      <vt:lpstr>Top 10 Customers by Revenue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2026-10-17T09:26:16Z</dcterms:created>
  <dcterms:modified xsi:type="dcterms:W3CDTF">2026-10-17T10:24:55Z</dcterms:modified>
</cp:coreProperties>
</file>